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aom\OneDrive\Ambiente de Trabalho\ProjetosTI\indicador_obras_gc\"/>
    </mc:Choice>
  </mc:AlternateContent>
  <bookViews>
    <workbookView xWindow="0" yWindow="0" windowWidth="2370" windowHeight="0"/>
  </bookViews>
  <sheets>
    <sheet name="obras" sheetId="1" r:id="rId1"/>
  </sheets>
  <calcPr calcId="162913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2" i="1"/>
</calcChain>
</file>

<file path=xl/sharedStrings.xml><?xml version="1.0" encoding="utf-8"?>
<sst xmlns="http://schemas.openxmlformats.org/spreadsheetml/2006/main" count="157" uniqueCount="69">
  <si>
    <t>CONTRATO</t>
  </si>
  <si>
    <t>OBJETO DO CONTRATO</t>
  </si>
  <si>
    <t>VALOR DO CONTRATO (R$)</t>
  </si>
  <si>
    <t>NOME DA OBRA</t>
  </si>
  <si>
    <t>VALOR TOTAL DA OBRA (R$)</t>
  </si>
  <si>
    <t>LOCALIZAÇÃO</t>
  </si>
  <si>
    <t>INÍCIO DA OBRA</t>
  </si>
  <si>
    <t>PREVISÃO DE TÉRMINO</t>
  </si>
  <si>
    <t>SITUAÇÃO</t>
  </si>
  <si>
    <t>% EXECUTADO</t>
  </si>
  <si>
    <t>EMPRESA CONTRATADA</t>
  </si>
  <si>
    <t>TIPO DA OBRA</t>
  </si>
  <si>
    <t>CLASSIFICAÇÃO DA OBRA</t>
  </si>
  <si>
    <t>INICIO DA OBRA</t>
  </si>
  <si>
    <t>13/2025</t>
  </si>
  <si>
    <t>Contratação de empresa especializada em serviçosde engenharia para a realização de manutenção de diversos prédios públicos, para atender às necessidades deste Município</t>
  </si>
  <si>
    <t>REPAROS NA ESCOLA MUNICIPAL LOURIVAL BATISTA</t>
  </si>
  <si>
    <t>RUA DA GLÓRIA. S/Nº - CENTRO</t>
  </si>
  <si>
    <t>30/01/2025</t>
  </si>
  <si>
    <t>CONCLUÍDA</t>
  </si>
  <si>
    <t>SOUZA DANTAS CONSTRUÇÕES LTDA</t>
  </si>
  <si>
    <t>CONSERVAÇÃO</t>
  </si>
  <si>
    <t>ESCOLA MUNICIPAL</t>
  </si>
  <si>
    <t>24/03/2025</t>
  </si>
  <si>
    <t>REPAROS NA ESCOLA MUNICIPAL MARIA INÊS</t>
  </si>
  <si>
    <t>POV. LAGOA DO RANCHO</t>
  </si>
  <si>
    <t>17/02/2025</t>
  </si>
  <si>
    <t>REPAROS NA ESCOLA MUNICIPAL SANTO ANTÔNIO</t>
  </si>
  <si>
    <t>POV. PONTO CHIQUE</t>
  </si>
  <si>
    <t>11/02/2025</t>
  </si>
  <si>
    <t>28/02/2025</t>
  </si>
  <si>
    <t>REPAROS DE PAVIMENTAÇÃO EM RUAS DA SEDE E DE POVOADOS DE GRACCHO CARDOSO/SE.</t>
  </si>
  <si>
    <t>ENTORNO DA PRAÇA JOÃO JOAQUIM E POV. GUEDES</t>
  </si>
  <si>
    <t>03/02/2025</t>
  </si>
  <si>
    <t>URBANIZAÇÃO</t>
  </si>
  <si>
    <t>REPAROS NA ESCOLA MUNICIPAL JUDITE SANTOS</t>
  </si>
  <si>
    <t>POV. GUEDES</t>
  </si>
  <si>
    <t xml:space="preserve">REPAROS NA ESCOLA MUNICIPAL FRANCISCO MENEZES NETO </t>
  </si>
  <si>
    <t>POV. BOA VISTA</t>
  </si>
  <si>
    <t>11/03/2025</t>
  </si>
  <si>
    <t>REPAROS NA ESCOLA MUNICIPAL ADNAN GARCIA</t>
  </si>
  <si>
    <t>RUA 1º DE FEVEREIRO</t>
  </si>
  <si>
    <t>13/03/2025</t>
  </si>
  <si>
    <t>REVITALIZAÇÃO DA PRAÇA JOÃO JOAQUIM DE ARAGÃO E URBANIZAÇÃO DO POVOADO GUEDES</t>
  </si>
  <si>
    <t>PRAÇA JOÃO JOAQUIM DE ARAGÃO / POV. GUEDES</t>
  </si>
  <si>
    <t>01/04/2025</t>
  </si>
  <si>
    <t>EM EXECUÇÃO</t>
  </si>
  <si>
    <t>25/04/2025</t>
  </si>
  <si>
    <t>07/2025-FMS</t>
  </si>
  <si>
    <t>Contratação de empresa especializada em serviçosde engenharia para a realização de manutenção de diversos prédios públicos, para atender às necessidades do Fundo Municipal de Saúde de Graccho Cardoso</t>
  </si>
  <si>
    <t>REPAROS NA SEDE DA SECRETARIA DE SAÚDE DE GRACCHO CARDOSO</t>
  </si>
  <si>
    <t>AV. GETÚLIO VARGAS</t>
  </si>
  <si>
    <t>UNIDADE DE SAÚDE</t>
  </si>
  <si>
    <t>REPAROS NA UNIDADE BÁSICA DE SAÚDE DO POVOADO QUINTAS</t>
  </si>
  <si>
    <t>POV. QUINTAS</t>
  </si>
  <si>
    <t>REPAROS NA UNIDADE BÁSICA DE SAÚDE DO POVOADO GAVIÃO</t>
  </si>
  <si>
    <t>POV. GAVIÃO</t>
  </si>
  <si>
    <t>14/04/2025</t>
  </si>
  <si>
    <t>REPAROS NA UNIDADE BÁSICA DE SAÚDE DO POVOADO PONTO CHIQUE</t>
  </si>
  <si>
    <t>12/2025 FMS</t>
  </si>
  <si>
    <t>Reforma da UBS do Povoado Guedes</t>
  </si>
  <si>
    <t>ARC Arquitetura, Reforma, Construções e Consultoria LTDA</t>
  </si>
  <si>
    <t>REFORMA DE UBS</t>
  </si>
  <si>
    <t>24/08/2025</t>
  </si>
  <si>
    <t>13/2025 FMS</t>
  </si>
  <si>
    <t>Reforma da UBS do Povoado Queimadas</t>
  </si>
  <si>
    <t>POV. QUIEIMADAS</t>
  </si>
  <si>
    <t>VALOR PAGO</t>
  </si>
  <si>
    <t>PAGO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</si>
</sst>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topLeftCell="C1" workbookViewId="0">
      <selection activeCell="R2" sqref="R2:R15"/>
    </sheetView>
  </sheetViews>
  <sheetFormatPr defaultRowHeight="15" x14ac:dyDescent="0.25"/>
  <cols>
    <col min="2" max="2" width="190.140625" bestFit="1" customWidth="1"/>
    <col min="3" max="3" width="24.85546875" bestFit="1" customWidth="1"/>
    <col min="4" max="4" width="86.85546875" bestFit="1" customWidth="1"/>
    <col min="5" max="5" width="26" bestFit="1" customWidth="1"/>
    <col min="6" max="6" width="48.28515625" bestFit="1" customWidth="1"/>
    <col min="7" max="7" width="15.28515625" bestFit="1" customWidth="1"/>
    <col min="8" max="8" width="21.85546875" bestFit="1" customWidth="1"/>
    <col min="9" max="9" width="13.7109375" bestFit="1" customWidth="1"/>
    <col min="10" max="10" width="13.85546875" bestFit="1" customWidth="1"/>
    <col min="11" max="11" width="14.28515625" bestFit="1" customWidth="1"/>
    <col min="13" max="13" width="54.140625" bestFit="1" customWidth="1"/>
    <col min="14" max="14" width="16.42578125" bestFit="1" customWidth="1"/>
    <col min="15" max="15" width="23.5703125" bestFit="1" customWidth="1"/>
    <col min="16" max="16" width="15.28515625" bestFit="1" customWidth="1"/>
    <col min="17" max="17" width="34.28515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67</v>
      </c>
      <c r="L1" s="1" t="s">
        <v>68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7</v>
      </c>
    </row>
    <row r="2" spans="1:18" x14ac:dyDescent="0.25">
      <c r="A2" t="s">
        <v>14</v>
      </c>
      <c r="B2" t="s">
        <v>15</v>
      </c>
      <c r="C2" s="2">
        <v>1305901.52</v>
      </c>
      <c r="D2" t="s">
        <v>16</v>
      </c>
      <c r="E2" s="3">
        <v>234787.9</v>
      </c>
      <c r="F2" s="4" t="s">
        <v>17</v>
      </c>
      <c r="G2" s="4" t="s">
        <v>18</v>
      </c>
      <c r="H2" s="5">
        <v>45740</v>
      </c>
      <c r="I2" s="4" t="s">
        <v>19</v>
      </c>
      <c r="J2" s="6">
        <v>1</v>
      </c>
      <c r="K2" s="3">
        <v>234787.9</v>
      </c>
      <c r="L2" s="6">
        <v>1</v>
      </c>
      <c r="M2" s="4" t="s">
        <v>20</v>
      </c>
      <c r="N2" s="4" t="s">
        <v>21</v>
      </c>
      <c r="O2" s="4" t="s">
        <v>22</v>
      </c>
      <c r="P2" s="5">
        <v>45687</v>
      </c>
      <c r="Q2" s="5" t="s">
        <v>23</v>
      </c>
      <c r="R2">
        <f>Q2-P2</f>
        <v>53</v>
      </c>
    </row>
    <row r="3" spans="1:18" x14ac:dyDescent="0.25">
      <c r="A3" t="s">
        <v>14</v>
      </c>
      <c r="B3" t="s">
        <v>15</v>
      </c>
      <c r="C3" s="2">
        <v>1305901.52</v>
      </c>
      <c r="D3" t="s">
        <v>24</v>
      </c>
      <c r="E3" s="3">
        <v>33508.46</v>
      </c>
      <c r="F3" s="4" t="s">
        <v>25</v>
      </c>
      <c r="G3" s="4" t="s">
        <v>18</v>
      </c>
      <c r="H3" s="5">
        <v>45705</v>
      </c>
      <c r="I3" s="4" t="s">
        <v>19</v>
      </c>
      <c r="J3" s="6">
        <v>1</v>
      </c>
      <c r="K3" s="3">
        <v>33508.46</v>
      </c>
      <c r="L3" s="6">
        <v>1</v>
      </c>
      <c r="M3" s="4" t="s">
        <v>20</v>
      </c>
      <c r="N3" s="4" t="s">
        <v>21</v>
      </c>
      <c r="O3" s="4" t="s">
        <v>22</v>
      </c>
      <c r="P3" s="5">
        <v>45687</v>
      </c>
      <c r="Q3" s="5" t="s">
        <v>26</v>
      </c>
      <c r="R3">
        <f t="shared" ref="R3:R15" si="0">Q3-P3</f>
        <v>18</v>
      </c>
    </row>
    <row r="4" spans="1:18" x14ac:dyDescent="0.25">
      <c r="A4" t="s">
        <v>14</v>
      </c>
      <c r="B4" t="s">
        <v>15</v>
      </c>
      <c r="C4" s="2">
        <v>1305901.52</v>
      </c>
      <c r="D4" t="s">
        <v>27</v>
      </c>
      <c r="E4" s="3">
        <v>50711.7</v>
      </c>
      <c r="F4" s="4" t="s">
        <v>28</v>
      </c>
      <c r="G4" s="4" t="s">
        <v>29</v>
      </c>
      <c r="H4" s="5">
        <v>45716</v>
      </c>
      <c r="I4" s="4" t="s">
        <v>19</v>
      </c>
      <c r="J4" s="6">
        <v>1</v>
      </c>
      <c r="K4" s="3">
        <v>50711.7</v>
      </c>
      <c r="L4" s="6">
        <v>1</v>
      </c>
      <c r="M4" s="4" t="s">
        <v>20</v>
      </c>
      <c r="N4" s="4" t="s">
        <v>21</v>
      </c>
      <c r="O4" s="4" t="s">
        <v>22</v>
      </c>
      <c r="P4" s="5">
        <v>45699</v>
      </c>
      <c r="Q4" s="5" t="s">
        <v>30</v>
      </c>
      <c r="R4">
        <f t="shared" si="0"/>
        <v>17</v>
      </c>
    </row>
    <row r="5" spans="1:18" x14ac:dyDescent="0.25">
      <c r="A5" t="s">
        <v>14</v>
      </c>
      <c r="B5" t="s">
        <v>15</v>
      </c>
      <c r="C5" s="2">
        <v>1305901.52</v>
      </c>
      <c r="D5" t="s">
        <v>31</v>
      </c>
      <c r="E5" s="3">
        <v>41996.37</v>
      </c>
      <c r="F5" s="4" t="s">
        <v>32</v>
      </c>
      <c r="G5" s="4" t="s">
        <v>33</v>
      </c>
      <c r="H5" s="5">
        <v>45716</v>
      </c>
      <c r="I5" s="4" t="s">
        <v>19</v>
      </c>
      <c r="J5" s="6">
        <v>1</v>
      </c>
      <c r="K5" s="3">
        <v>41996.37</v>
      </c>
      <c r="L5" s="6">
        <v>1</v>
      </c>
      <c r="M5" s="4" t="s">
        <v>20</v>
      </c>
      <c r="N5" s="4" t="s">
        <v>21</v>
      </c>
      <c r="O5" s="4" t="s">
        <v>34</v>
      </c>
      <c r="P5" s="5">
        <v>45691</v>
      </c>
      <c r="Q5" s="5" t="s">
        <v>30</v>
      </c>
      <c r="R5">
        <f t="shared" si="0"/>
        <v>25</v>
      </c>
    </row>
    <row r="6" spans="1:18" x14ac:dyDescent="0.25">
      <c r="A6" t="s">
        <v>14</v>
      </c>
      <c r="B6" t="s">
        <v>15</v>
      </c>
      <c r="C6" s="2">
        <v>1305901.52</v>
      </c>
      <c r="D6" t="s">
        <v>35</v>
      </c>
      <c r="E6" s="3">
        <v>67302.490000000005</v>
      </c>
      <c r="F6" s="4" t="s">
        <v>36</v>
      </c>
      <c r="G6" s="4" t="s">
        <v>33</v>
      </c>
      <c r="H6" s="5">
        <v>45716</v>
      </c>
      <c r="I6" s="4" t="s">
        <v>19</v>
      </c>
      <c r="J6" s="6">
        <v>1</v>
      </c>
      <c r="K6" s="3">
        <v>67302.490000000005</v>
      </c>
      <c r="L6" s="6">
        <v>1</v>
      </c>
      <c r="M6" s="4" t="s">
        <v>20</v>
      </c>
      <c r="N6" s="4" t="s">
        <v>21</v>
      </c>
      <c r="O6" s="4" t="s">
        <v>22</v>
      </c>
      <c r="P6" s="5">
        <v>45691</v>
      </c>
      <c r="Q6" s="5" t="s">
        <v>30</v>
      </c>
      <c r="R6">
        <f t="shared" si="0"/>
        <v>25</v>
      </c>
    </row>
    <row r="7" spans="1:18" x14ac:dyDescent="0.25">
      <c r="A7" t="s">
        <v>14</v>
      </c>
      <c r="B7" t="s">
        <v>15</v>
      </c>
      <c r="C7" s="2">
        <v>1305901.52</v>
      </c>
      <c r="D7" t="s">
        <v>37</v>
      </c>
      <c r="E7" s="3">
        <v>32486.799999999999</v>
      </c>
      <c r="F7" s="4" t="s">
        <v>38</v>
      </c>
      <c r="G7" s="4" t="s">
        <v>26</v>
      </c>
      <c r="H7" s="5">
        <v>45727</v>
      </c>
      <c r="I7" s="4" t="s">
        <v>19</v>
      </c>
      <c r="J7" s="6">
        <v>1</v>
      </c>
      <c r="K7" s="3">
        <v>32486.799999999999</v>
      </c>
      <c r="L7" s="6">
        <v>1</v>
      </c>
      <c r="M7" s="4" t="s">
        <v>20</v>
      </c>
      <c r="N7" s="4" t="s">
        <v>21</v>
      </c>
      <c r="O7" s="4" t="s">
        <v>22</v>
      </c>
      <c r="P7" s="5">
        <v>45705</v>
      </c>
      <c r="Q7" s="5" t="s">
        <v>39</v>
      </c>
      <c r="R7">
        <f t="shared" si="0"/>
        <v>22</v>
      </c>
    </row>
    <row r="8" spans="1:18" x14ac:dyDescent="0.25">
      <c r="A8" t="s">
        <v>14</v>
      </c>
      <c r="B8" t="s">
        <v>15</v>
      </c>
      <c r="C8" s="2">
        <v>1305901.52</v>
      </c>
      <c r="D8" t="s">
        <v>40</v>
      </c>
      <c r="E8" s="3">
        <v>68295.199999999997</v>
      </c>
      <c r="F8" s="4" t="s">
        <v>41</v>
      </c>
      <c r="G8" s="4" t="s">
        <v>33</v>
      </c>
      <c r="H8" s="5">
        <v>45729</v>
      </c>
      <c r="I8" s="4" t="s">
        <v>19</v>
      </c>
      <c r="J8" s="6">
        <v>1</v>
      </c>
      <c r="K8" s="3">
        <v>68295.199999999997</v>
      </c>
      <c r="L8" s="6">
        <v>1</v>
      </c>
      <c r="M8" s="4" t="s">
        <v>20</v>
      </c>
      <c r="N8" s="4" t="s">
        <v>21</v>
      </c>
      <c r="O8" s="4" t="s">
        <v>22</v>
      </c>
      <c r="P8" s="5">
        <v>45691</v>
      </c>
      <c r="Q8" s="5" t="s">
        <v>42</v>
      </c>
      <c r="R8">
        <f t="shared" si="0"/>
        <v>38</v>
      </c>
    </row>
    <row r="9" spans="1:18" x14ac:dyDescent="0.25">
      <c r="A9" t="s">
        <v>14</v>
      </c>
      <c r="B9" t="s">
        <v>15</v>
      </c>
      <c r="C9" s="2">
        <v>1305901.52</v>
      </c>
      <c r="D9" t="s">
        <v>43</v>
      </c>
      <c r="E9" s="3">
        <v>51383.73</v>
      </c>
      <c r="F9" s="4" t="s">
        <v>44</v>
      </c>
      <c r="G9" s="4" t="s">
        <v>45</v>
      </c>
      <c r="H9" s="5">
        <v>45772</v>
      </c>
      <c r="I9" s="4" t="s">
        <v>46</v>
      </c>
      <c r="J9" s="6">
        <v>0.6</v>
      </c>
      <c r="K9" s="3">
        <v>0</v>
      </c>
      <c r="L9" s="6">
        <v>0</v>
      </c>
      <c r="M9" s="4" t="s">
        <v>20</v>
      </c>
      <c r="N9" s="4" t="s">
        <v>21</v>
      </c>
      <c r="O9" s="4" t="s">
        <v>34</v>
      </c>
      <c r="P9" s="5">
        <v>45748</v>
      </c>
      <c r="Q9" s="5" t="s">
        <v>47</v>
      </c>
      <c r="R9">
        <f t="shared" si="0"/>
        <v>24</v>
      </c>
    </row>
    <row r="10" spans="1:18" x14ac:dyDescent="0.25">
      <c r="A10" t="s">
        <v>48</v>
      </c>
      <c r="B10" t="s">
        <v>49</v>
      </c>
      <c r="C10" s="2">
        <v>1305901.52</v>
      </c>
      <c r="D10" t="s">
        <v>50</v>
      </c>
      <c r="E10" s="3">
        <v>22590.11</v>
      </c>
      <c r="F10" s="4" t="s">
        <v>51</v>
      </c>
      <c r="G10" s="4" t="s">
        <v>33</v>
      </c>
      <c r="H10" s="5">
        <v>45716</v>
      </c>
      <c r="I10" s="4" t="s">
        <v>19</v>
      </c>
      <c r="J10" s="6">
        <v>1</v>
      </c>
      <c r="K10" s="3">
        <v>22590.11</v>
      </c>
      <c r="L10" s="6">
        <v>1</v>
      </c>
      <c r="M10" s="4" t="s">
        <v>20</v>
      </c>
      <c r="N10" s="4" t="s">
        <v>21</v>
      </c>
      <c r="O10" s="4" t="s">
        <v>52</v>
      </c>
      <c r="P10" s="5">
        <v>45691</v>
      </c>
      <c r="Q10" s="5" t="s">
        <v>30</v>
      </c>
      <c r="R10">
        <f t="shared" si="0"/>
        <v>25</v>
      </c>
    </row>
    <row r="11" spans="1:18" x14ac:dyDescent="0.25">
      <c r="A11" t="s">
        <v>48</v>
      </c>
      <c r="B11" t="s">
        <v>49</v>
      </c>
      <c r="C11" s="2">
        <v>1305901.52</v>
      </c>
      <c r="D11" t="s">
        <v>53</v>
      </c>
      <c r="E11" s="3">
        <v>73720.84</v>
      </c>
      <c r="F11" s="4" t="s">
        <v>54</v>
      </c>
      <c r="G11" s="4" t="s">
        <v>45</v>
      </c>
      <c r="H11" s="5">
        <v>45772</v>
      </c>
      <c r="I11" s="4" t="s">
        <v>46</v>
      </c>
      <c r="J11" s="6">
        <v>0.8</v>
      </c>
      <c r="K11" s="3">
        <v>48580.11</v>
      </c>
      <c r="L11" s="6">
        <v>0.6589739075138048</v>
      </c>
      <c r="M11" s="4" t="s">
        <v>20</v>
      </c>
      <c r="N11" s="4" t="s">
        <v>21</v>
      </c>
      <c r="O11" s="4" t="s">
        <v>52</v>
      </c>
      <c r="P11" s="5">
        <v>45748</v>
      </c>
      <c r="Q11" s="5" t="s">
        <v>47</v>
      </c>
      <c r="R11">
        <f t="shared" si="0"/>
        <v>24</v>
      </c>
    </row>
    <row r="12" spans="1:18" x14ac:dyDescent="0.25">
      <c r="A12" t="s">
        <v>48</v>
      </c>
      <c r="B12" t="s">
        <v>49</v>
      </c>
      <c r="C12" s="2">
        <v>1305901.52</v>
      </c>
      <c r="D12" t="s">
        <v>55</v>
      </c>
      <c r="E12" s="3">
        <v>26120.79</v>
      </c>
      <c r="F12" s="4" t="s">
        <v>56</v>
      </c>
      <c r="G12" s="4" t="s">
        <v>45</v>
      </c>
      <c r="H12" s="5">
        <v>45761</v>
      </c>
      <c r="I12" s="4" t="s">
        <v>19</v>
      </c>
      <c r="J12" s="6">
        <v>1</v>
      </c>
      <c r="K12" s="3">
        <v>26120.79</v>
      </c>
      <c r="L12" s="6">
        <v>1</v>
      </c>
      <c r="M12" s="4" t="s">
        <v>20</v>
      </c>
      <c r="N12" s="4" t="s">
        <v>21</v>
      </c>
      <c r="O12" s="4" t="s">
        <v>52</v>
      </c>
      <c r="P12" s="5">
        <v>45748</v>
      </c>
      <c r="Q12" s="5" t="s">
        <v>57</v>
      </c>
      <c r="R12">
        <f t="shared" si="0"/>
        <v>13</v>
      </c>
    </row>
    <row r="13" spans="1:18" x14ac:dyDescent="0.25">
      <c r="A13" t="s">
        <v>48</v>
      </c>
      <c r="B13" t="s">
        <v>49</v>
      </c>
      <c r="C13" s="2">
        <v>1305901.52</v>
      </c>
      <c r="D13" t="s">
        <v>58</v>
      </c>
      <c r="E13" s="3">
        <v>32422.44</v>
      </c>
      <c r="F13" s="4" t="s">
        <v>28</v>
      </c>
      <c r="G13" s="4" t="s">
        <v>45</v>
      </c>
      <c r="H13" s="5">
        <v>45761</v>
      </c>
      <c r="I13" s="4" t="s">
        <v>19</v>
      </c>
      <c r="J13" s="6">
        <v>1</v>
      </c>
      <c r="K13" s="3">
        <v>32422.44</v>
      </c>
      <c r="L13" s="6">
        <v>1</v>
      </c>
      <c r="M13" s="4" t="s">
        <v>20</v>
      </c>
      <c r="N13" s="4" t="s">
        <v>21</v>
      </c>
      <c r="O13" s="4" t="s">
        <v>52</v>
      </c>
      <c r="P13" s="5">
        <v>45748</v>
      </c>
      <c r="Q13" s="5" t="s">
        <v>57</v>
      </c>
      <c r="R13">
        <f t="shared" si="0"/>
        <v>13</v>
      </c>
    </row>
    <row r="14" spans="1:18" x14ac:dyDescent="0.25">
      <c r="A14" t="s">
        <v>59</v>
      </c>
      <c r="B14" t="s">
        <v>60</v>
      </c>
      <c r="C14" s="2">
        <v>306617.46000000002</v>
      </c>
      <c r="D14" t="s">
        <v>60</v>
      </c>
      <c r="E14" s="3">
        <v>306617.46000000002</v>
      </c>
      <c r="F14" s="4" t="s">
        <v>36</v>
      </c>
      <c r="G14" s="4" t="s">
        <v>23</v>
      </c>
      <c r="H14" s="5">
        <v>45893</v>
      </c>
      <c r="I14" s="4" t="s">
        <v>46</v>
      </c>
      <c r="J14" s="6">
        <v>0</v>
      </c>
      <c r="K14" s="3">
        <v>0</v>
      </c>
      <c r="L14" s="6">
        <v>0</v>
      </c>
      <c r="M14" s="4" t="s">
        <v>61</v>
      </c>
      <c r="N14" s="4" t="s">
        <v>62</v>
      </c>
      <c r="O14" s="4" t="s">
        <v>52</v>
      </c>
      <c r="P14" s="5">
        <v>45740</v>
      </c>
      <c r="Q14" s="5" t="s">
        <v>63</v>
      </c>
      <c r="R14">
        <f t="shared" si="0"/>
        <v>153</v>
      </c>
    </row>
    <row r="15" spans="1:18" x14ac:dyDescent="0.25">
      <c r="A15" t="s">
        <v>64</v>
      </c>
      <c r="B15" t="s">
        <v>65</v>
      </c>
      <c r="C15" s="2">
        <v>244121.27</v>
      </c>
      <c r="D15" t="s">
        <v>65</v>
      </c>
      <c r="E15" s="3">
        <v>244121.27</v>
      </c>
      <c r="F15" s="4" t="s">
        <v>66</v>
      </c>
      <c r="G15" s="4" t="s">
        <v>23</v>
      </c>
      <c r="H15" s="5">
        <v>45893</v>
      </c>
      <c r="I15" s="4" t="s">
        <v>46</v>
      </c>
      <c r="J15" s="6">
        <v>0</v>
      </c>
      <c r="K15" s="3">
        <v>0</v>
      </c>
      <c r="L15" s="6">
        <v>0</v>
      </c>
      <c r="M15" s="4" t="s">
        <v>61</v>
      </c>
      <c r="N15" s="4" t="s">
        <v>62</v>
      </c>
      <c r="O15" s="4" t="s">
        <v>52</v>
      </c>
      <c r="P15" s="5">
        <v>45740</v>
      </c>
      <c r="Q15" s="5" t="s">
        <v>63</v>
      </c>
      <c r="R15">
        <f t="shared" si="0"/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obras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joao.marcos.dasilva@outlook.com</cp:lastModifiedBy>
  <dcterms:created xsi:type="dcterms:W3CDTF">2026-03-23T02:45:01Z</dcterms:created>
  <dcterms:modified xsi:type="dcterms:W3CDTF">2026-03-24T02:08:48Z</dcterms:modified>
</cp:coreProperties>
</file>